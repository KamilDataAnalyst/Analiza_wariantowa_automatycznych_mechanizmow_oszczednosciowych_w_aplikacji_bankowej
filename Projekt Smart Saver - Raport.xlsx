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939BFE3C-03E0-4811-A99D-1DDDA9B5BA5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apor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<sst xmlns="http://schemas.openxmlformats.org/spreadsheetml/2006/main" count="24" uniqueCount="15">
  <si>
    <r>
      <rPr>
        <b/>
        <sz val="14"/>
        <color rgb="FF000000"/>
        <rFont val="Calibri"/>
        <scheme val="minor"/>
      </rPr>
      <t xml:space="preserve">Analiza wariantów Smart Saver – dane z Lutego i Listopada
</t>
    </r>
    <r>
      <rPr>
        <sz val="12"/>
        <color rgb="FF000000"/>
        <rFont val="Calibri"/>
        <scheme val="minor"/>
      </rPr>
      <t>Porównanie oszczędności i salda końcowego</t>
    </r>
  </si>
  <si>
    <t>Celem raportu jest pokazanie, które warianty Smart Saver pozwalają najlepiej oszczędzać, zachowując zdrowe saldo końcowe. Analiza obejmuje wybrane, najabrdziej optymalne warianty oszczędzania: procentowe (1%, 5%, 7%) oraz wariant zaokrąglenia (do 5 zł).</t>
  </si>
  <si>
    <t>Mimo zbliżonej łącznej wartości wydatków, miesiące różniły się strukturą transakcji. Listopad charakteryzował się większą liczbą drobnych wydatków (75% poniżej 10 zł), co zwiększyło efektywność mechanizmu zaokrągleń w porównaniu do lutego.</t>
  </si>
  <si>
    <t>Podsumowująca tabela najważniejszych wariantów - Luty</t>
  </si>
  <si>
    <t>Podsumowująca tabela najważniejszych wariantów - Listopad</t>
  </si>
  <si>
    <t>Wariant oszczędzania</t>
  </si>
  <si>
    <t>Saldo końcowe</t>
  </si>
  <si>
    <t>Kwota odłożona</t>
  </si>
  <si>
    <t>Średnia dzienna odkładana kwota</t>
  </si>
  <si>
    <t>% utraty salda względem wariantu 1%</t>
  </si>
  <si>
    <t>Smart Saver 1% - bazowy</t>
  </si>
  <si>
    <t>Smart Saver 5%</t>
  </si>
  <si>
    <t>Smart Saver 7%</t>
  </si>
  <si>
    <t>Smart Saver do 5zł</t>
  </si>
  <si>
    <r>
      <rPr>
        <b/>
        <sz val="14"/>
        <color rgb="FF000000"/>
        <rFont val="Calibri"/>
        <scheme val="minor"/>
      </rPr>
      <t xml:space="preserve">                                                                                                Wnioski
</t>
    </r>
    <r>
      <rPr>
        <sz val="14"/>
        <color rgb="FF000000"/>
        <rFont val="Calibri"/>
        <scheme val="minor"/>
      </rPr>
      <t>--&gt; Najbardziej zrównoważony wariant to 7% - daje dobre oszczędności przy umiarkowanym spadku salda.
--&gt; Warianty procentowe zapewniają bardziej proporcjonalny stosunek odkładanych oszczędności do salda końcowego.
--&gt; Zaokrąglenie do 5zł oszczędza więcej przy dużej liczbie transakcji, natomiast jest ryzykowny gdy suma odkładanych środków jest wyższa niż realna nadwyżka budżetowa pozostała po wydatkach.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</si>
</sst>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zł&quot;;[Red]\-#,##0\ &quot;zł&quot;"/>
    <numFmt numFmtId="8" formatCode="#,##0.00\ &quot;zł&quot;;[Red]\-#,##0.00\ &quot;zł&quot;"/>
    <numFmt numFmtId="165" formatCode="#,##0.00\ &quot;zł&quot;"/>
  </numFmts>
  <fonts count="10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  <font>
      <b/>
      <sz val="14"/>
      <color rgb="FF000000"/>
      <name val="Calibri"/>
      <scheme val="minor"/>
    </font>
    <font>
      <sz val="12"/>
      <color rgb="FF000000"/>
      <name val="Calibri"/>
      <scheme val="minor"/>
    </font>
    <font>
      <sz val="11"/>
      <color rgb="FF000000"/>
      <name val="Calibri"/>
      <charset val="1"/>
    </font>
    <font>
      <sz val="14"/>
      <color rgb="FF000000"/>
      <name val="Calibri"/>
      <scheme val="minor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16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/>
      </left>
      <right/>
      <top style="thin">
        <color theme="8" tint="0.39997558519241921"/>
      </top>
      <bottom/>
      <diagonal/>
    </border>
    <border>
      <left/>
      <right/>
      <top/>
      <bottom style="thin">
        <color theme="8" tint="0.39997558519241921"/>
      </bottom>
      <diagonal/>
    </border>
    <border>
      <left style="thin">
        <color theme="8" tint="0.39997558519241921"/>
      </left>
      <right style="thin">
        <color theme="8"/>
      </right>
      <top style="thin">
        <color theme="8" tint="0.39997558519241921"/>
      </top>
      <bottom style="medium">
        <color theme="8"/>
      </bottom>
      <diagonal/>
    </border>
    <border>
      <left style="thin">
        <color theme="8"/>
      </left>
      <right style="thin">
        <color theme="8"/>
      </right>
      <top style="thin">
        <color theme="8" tint="0.39997558519241921"/>
      </top>
      <bottom style="medium">
        <color theme="8"/>
      </bottom>
      <diagonal/>
    </border>
    <border>
      <left style="thin">
        <color theme="8"/>
      </left>
      <right style="thin">
        <color theme="8" tint="0.39997558519241921"/>
      </right>
      <top style="thin">
        <color theme="8" tint="0.39997558519241921"/>
      </top>
      <bottom style="medium">
        <color theme="8"/>
      </bottom>
      <diagonal/>
    </border>
    <border>
      <left style="thin">
        <color theme="8" tint="0.39997558519241921"/>
      </left>
      <right style="thin">
        <color theme="8"/>
      </right>
      <top style="thin">
        <color theme="8" tint="0.39997558519241921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 tint="0.39997558519241921"/>
      </top>
      <bottom style="thin">
        <color theme="8"/>
      </bottom>
      <diagonal/>
    </border>
    <border>
      <left style="thin">
        <color theme="8"/>
      </left>
      <right style="thin">
        <color theme="8" tint="0.39997558519241921"/>
      </right>
      <top style="thin">
        <color theme="8" tint="0.39997558519241921"/>
      </top>
      <bottom style="thin">
        <color theme="8"/>
      </bottom>
      <diagonal/>
    </border>
    <border>
      <left style="thin">
        <color theme="8" tint="0.39997558519241921"/>
      </left>
      <right style="thin">
        <color theme="8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/>
      </left>
      <right style="thin">
        <color theme="8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/>
      </left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8"/>
      </left>
      <right/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1" xfId="0" applyFont="1" applyFill="1" applyBorder="1"/>
    <xf numFmtId="0" fontId="2" fillId="3" borderId="1" xfId="0" applyFont="1" applyFill="1" applyBorder="1"/>
    <xf numFmtId="0" fontId="2" fillId="0" borderId="1" xfId="0" applyFont="1" applyBorder="1"/>
    <xf numFmtId="0" fontId="0" fillId="0" borderId="0" xfId="0" applyAlignment="1">
      <alignment horizontal="center" wrapText="1"/>
    </xf>
    <xf numFmtId="0" fontId="2" fillId="0" borderId="2" xfId="0" applyFont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2" fillId="3" borderId="8" xfId="0" applyFont="1" applyFill="1" applyBorder="1"/>
    <xf numFmtId="8" fontId="0" fillId="3" borderId="9" xfId="0" applyNumberFormat="1" applyFill="1" applyBorder="1" applyAlignment="1">
      <alignment horizontal="center"/>
    </xf>
    <xf numFmtId="6" fontId="0" fillId="3" borderId="9" xfId="0" applyNumberFormat="1" applyFill="1" applyBorder="1" applyAlignment="1">
      <alignment horizontal="center"/>
    </xf>
    <xf numFmtId="9" fontId="0" fillId="3" borderId="10" xfId="0" applyNumberFormat="1" applyFill="1" applyBorder="1" applyAlignment="1">
      <alignment horizontal="center"/>
    </xf>
    <xf numFmtId="0" fontId="2" fillId="0" borderId="8" xfId="0" applyFont="1" applyBorder="1"/>
    <xf numFmtId="8" fontId="0" fillId="0" borderId="9" xfId="0" applyNumberFormat="1" applyBorder="1" applyAlignment="1">
      <alignment horizontal="center"/>
    </xf>
    <xf numFmtId="6" fontId="0" fillId="0" borderId="9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2" fillId="0" borderId="11" xfId="0" applyFont="1" applyBorder="1"/>
    <xf numFmtId="165" fontId="1" fillId="0" borderId="12" xfId="0" applyNumberFormat="1" applyFont="1" applyBorder="1" applyAlignment="1">
      <alignment horizontal="center"/>
    </xf>
    <xf numFmtId="6" fontId="0" fillId="0" borderId="12" xfId="0" applyNumberFormat="1" applyBorder="1" applyAlignment="1">
      <alignment horizontal="center"/>
    </xf>
    <xf numFmtId="8" fontId="0" fillId="0" borderId="12" xfId="0" applyNumberFormat="1" applyBorder="1" applyAlignment="1">
      <alignment horizontal="center"/>
    </xf>
    <xf numFmtId="9" fontId="0" fillId="0" borderId="13" xfId="0" applyNumberFormat="1" applyBorder="1" applyAlignment="1">
      <alignment horizontal="center"/>
    </xf>
    <xf numFmtId="0" fontId="3" fillId="2" borderId="3" xfId="0" applyFont="1" applyFill="1" applyBorder="1"/>
    <xf numFmtId="0" fontId="3" fillId="2" borderId="14" xfId="0" applyFont="1" applyFill="1" applyBorder="1"/>
    <xf numFmtId="8" fontId="0" fillId="3" borderId="3" xfId="0" applyNumberFormat="1" applyFill="1" applyBorder="1" applyAlignment="1">
      <alignment horizontal="center"/>
    </xf>
    <xf numFmtId="6" fontId="0" fillId="3" borderId="3" xfId="0" applyNumberFormat="1" applyFill="1" applyBorder="1" applyAlignment="1">
      <alignment horizontal="center"/>
    </xf>
    <xf numFmtId="9" fontId="0" fillId="3" borderId="14" xfId="0" applyNumberFormat="1" applyFill="1" applyBorder="1" applyAlignment="1">
      <alignment horizontal="center"/>
    </xf>
    <xf numFmtId="8" fontId="0" fillId="0" borderId="3" xfId="0" applyNumberFormat="1" applyBorder="1" applyAlignment="1">
      <alignment horizontal="center"/>
    </xf>
    <xf numFmtId="6" fontId="0" fillId="0" borderId="3" xfId="0" applyNumberFormat="1" applyBorder="1" applyAlignment="1">
      <alignment horizontal="center"/>
    </xf>
    <xf numFmtId="9" fontId="0" fillId="0" borderId="14" xfId="0" applyNumberFormat="1" applyBorder="1" applyAlignment="1">
      <alignment horizontal="center"/>
    </xf>
    <xf numFmtId="165" fontId="1" fillId="0" borderId="15" xfId="0" applyNumberFormat="1" applyFont="1" applyBorder="1" applyAlignment="1">
      <alignment horizontal="center"/>
    </xf>
    <xf numFmtId="6" fontId="0" fillId="0" borderId="15" xfId="0" applyNumberFormat="1" applyBorder="1" applyAlignment="1">
      <alignment horizontal="center"/>
    </xf>
    <xf numFmtId="8" fontId="0" fillId="0" borderId="15" xfId="0" applyNumberFormat="1" applyBorder="1" applyAlignment="1">
      <alignment horizontal="center"/>
    </xf>
    <xf numFmtId="0" fontId="0" fillId="0" borderId="4" xfId="0" applyBorder="1"/>
    <xf numFmtId="0" fontId="0" fillId="0" borderId="0" xfId="0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ny" xfId="0" builtinId="0"/>
  </cellStyles>
  <dxfs count="0"/>
  <tableStyles count="0" defaultTableStyle="TableStyleMedium2" defaultPivotStyle="PivotStyleMedium9"/>
  <colors>
    <mruColors>
      <color rgb="FFF567C3"/>
      <color rgb="FFDB39D6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Relacja między poziomem oszczędzania a saldem końcowym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Raport!$C$7</c:f>
              <c:strCache>
                <c:ptCount val="1"/>
                <c:pt idx="0">
                  <c:v>Kwota odłożona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ED7D3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Raport!$A$8:$A$11</c:f>
              <c:strCache>
                <c:ptCount val="4"/>
                <c:pt idx="0">
                  <c:v>Smart Saver 1% - bazowy</c:v>
                </c:pt>
                <c:pt idx="1">
                  <c:v>Smart Saver 5%</c:v>
                </c:pt>
                <c:pt idx="2">
                  <c:v>Smart Saver 7%</c:v>
                </c:pt>
                <c:pt idx="3">
                  <c:v>Smart Saver do 5zł</c:v>
                </c:pt>
              </c:strCache>
            </c:strRef>
          </c:cat>
          <c:val>
            <c:numRef>
              <c:f>Raport!$C$8:$C$11</c:f>
              <c:numCache>
                <c:formatCode>"zł"#,##0_);[Red]\("zł"#,##0\)</c:formatCode>
                <c:ptCount val="4"/>
                <c:pt idx="0">
                  <c:v>3.8229000000000002</c:v>
                </c:pt>
                <c:pt idx="1">
                  <c:v>19.1145</c:v>
                </c:pt>
                <c:pt idx="2">
                  <c:v>26.760300000000001</c:v>
                </c:pt>
                <c:pt idx="3">
                  <c:v>22.709999999999997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84-4687-92F7-D8F6000FC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339783"/>
        <c:axId val="158514183"/>
      </c:barChart>
      <c:lineChart>
        <c:grouping val="standard"/>
        <c:varyColors val="0"/>
        <c:ser>
          <c:idx val="0"/>
          <c:order val="0"/>
          <c:tx>
            <c:strRef>
              <c:f>Raport!$B$7</c:f>
              <c:strCache>
                <c:ptCount val="1"/>
                <c:pt idx="0">
                  <c:v>Saldo końcowe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Raport!$A$8:$A$11</c:f>
              <c:strCache>
                <c:ptCount val="4"/>
                <c:pt idx="0">
                  <c:v>Smart Saver 1% - bazowy</c:v>
                </c:pt>
                <c:pt idx="1">
                  <c:v>Smart Saver 5%</c:v>
                </c:pt>
                <c:pt idx="2">
                  <c:v>Smart Saver 7%</c:v>
                </c:pt>
                <c:pt idx="3">
                  <c:v>Smart Saver do 5zł</c:v>
                </c:pt>
              </c:strCache>
            </c:strRef>
          </c:cat>
          <c:val>
            <c:numRef>
              <c:f>Raport!$B$8:$B$11</c:f>
              <c:numCache>
                <c:formatCode>"zł"#,##0.00_);[Red]\("zł"#,##0.00\)</c:formatCode>
                <c:ptCount val="4"/>
                <c:pt idx="0">
                  <c:v>46.177099999999953</c:v>
                </c:pt>
                <c:pt idx="1">
                  <c:v>30.885499999999951</c:v>
                </c:pt>
                <c:pt idx="2">
                  <c:v>23.239699999999949</c:v>
                </c:pt>
                <c:pt idx="3" formatCode="#,##0.00\ &quot;zł&quot;">
                  <c:v>27.289999999999953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84-4687-92F7-D8F6000FC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614343"/>
        <c:axId val="163750919"/>
      </c:lineChart>
      <c:catAx>
        <c:axId val="161614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50919"/>
        <c:crosses val="autoZero"/>
        <c:auto val="1"/>
        <c:lblAlgn val="ctr"/>
        <c:lblOffset val="100"/>
        <c:noMultiLvlLbl val="0"/>
      </c:catAx>
      <c:valAx>
        <c:axId val="163750919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zł&quot;#,##0.00_);[Red]\(&quot;zł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14343"/>
        <c:crosses val="autoZero"/>
        <c:crossBetween val="between"/>
      </c:valAx>
      <c:valAx>
        <c:axId val="158514183"/>
        <c:scaling>
          <c:orientation val="minMax"/>
        </c:scaling>
        <c:delete val="1"/>
        <c:axPos val="r"/>
        <c:numFmt formatCode="&quot;zł&quot;#,##0_);[Red]\(&quot;zł&quot;#,##0\)" sourceLinked="1"/>
        <c:majorTickMark val="out"/>
        <c:minorTickMark val="none"/>
        <c:tickLblPos val="nextTo"/>
        <c:crossAx val="163339783"/>
        <c:crosses val="max"/>
        <c:crossBetween val="between"/>
      </c:valAx>
      <c:catAx>
        <c:axId val="1633397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85141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Relacja między poziomem oszczędzania a saldem końcowym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Raport!$I$7</c:f>
              <c:strCache>
                <c:ptCount val="1"/>
                <c:pt idx="0">
                  <c:v>Kwota odłożona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ED7D3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Raport!$G$8:$G$11</c:f>
              <c:strCache>
                <c:ptCount val="4"/>
                <c:pt idx="0">
                  <c:v>Smart Saver 1% - bazowy</c:v>
                </c:pt>
                <c:pt idx="1">
                  <c:v>Smart Saver 5%</c:v>
                </c:pt>
                <c:pt idx="2">
                  <c:v>Smart Saver 7%</c:v>
                </c:pt>
                <c:pt idx="3">
                  <c:v>Smart Saver do 5zł</c:v>
                </c:pt>
              </c:strCache>
            </c:strRef>
          </c:cat>
          <c:val>
            <c:numRef>
              <c:f>Raport!$I$8:$I$11</c:f>
              <c:numCache>
                <c:formatCode>"zł"#,##0_);[Red]\("zł"#,##0\)</c:formatCode>
                <c:ptCount val="4"/>
                <c:pt idx="0">
                  <c:v>4</c:v>
                </c:pt>
                <c:pt idx="1">
                  <c:v>20</c:v>
                </c:pt>
                <c:pt idx="2">
                  <c:v>27</c:v>
                </c:pt>
                <c:pt idx="3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2C-4C8D-85AE-8BDECB90A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327239"/>
        <c:axId val="159329287"/>
      </c:barChart>
      <c:lineChart>
        <c:grouping val="standard"/>
        <c:varyColors val="0"/>
        <c:ser>
          <c:idx val="0"/>
          <c:order val="1"/>
          <c:tx>
            <c:strRef>
              <c:f>Raport!$H$7</c:f>
              <c:strCache>
                <c:ptCount val="1"/>
                <c:pt idx="0">
                  <c:v>Saldo końcowe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Raport!$G$8:$G$11</c:f>
              <c:strCache>
                <c:ptCount val="4"/>
                <c:pt idx="0">
                  <c:v>Smart Saver 1% - bazowy</c:v>
                </c:pt>
                <c:pt idx="1">
                  <c:v>Smart Saver 5%</c:v>
                </c:pt>
                <c:pt idx="2">
                  <c:v>Smart Saver 7%</c:v>
                </c:pt>
                <c:pt idx="3">
                  <c:v>Smart Saver do 5zł</c:v>
                </c:pt>
              </c:strCache>
            </c:strRef>
          </c:cat>
          <c:val>
            <c:numRef>
              <c:f>Raport!$H$8:$H$11</c:f>
              <c:numCache>
                <c:formatCode>"zł"#,##0.00_);[Red]\("zł"#,##0.00\)</c:formatCode>
                <c:ptCount val="4"/>
                <c:pt idx="0">
                  <c:v>43</c:v>
                </c:pt>
                <c:pt idx="1">
                  <c:v>27.36</c:v>
                </c:pt>
                <c:pt idx="2">
                  <c:v>19.53</c:v>
                </c:pt>
                <c:pt idx="3" formatCode="#,##0.00\ &quot;zł&quot;">
                  <c:v>-17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2C-4C8D-85AE-8BDECB90A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327239"/>
        <c:axId val="159329287"/>
      </c:lineChart>
      <c:catAx>
        <c:axId val="159327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29287"/>
        <c:crosses val="autoZero"/>
        <c:auto val="1"/>
        <c:lblAlgn val="ctr"/>
        <c:lblOffset val="100"/>
        <c:noMultiLvlLbl val="0"/>
      </c:catAx>
      <c:valAx>
        <c:axId val="159329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zł&quot;#,##0_);[Red]\(&quot;zł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27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752475</xdr:colOff>
      <xdr:row>12</xdr:row>
      <xdr:rowOff>0</xdr:rowOff>
    </xdr:from>
    <xdr:to>
      <xdr:col>4</xdr:col>
      <xdr:colOff>1085850</xdr:colOff>
      <xdr:row>31</xdr:row>
      <xdr:rowOff>57150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DAA76C47-4007-E9F8-FD65-1A32CDB757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495300</xdr:colOff>
      <xdr:row>11</xdr:row>
      <xdr:rowOff>161925</xdr:rowOff>
    </xdr:from>
    <xdr:to>
      <xdr:col>10</xdr:col>
      <xdr:colOff>1276350</xdr:colOff>
      <xdr:row>31</xdr:row>
      <xdr:rowOff>66675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4E60EB00-3073-C6D7-C9DE-55FF5D8830AB}"/>
            </a:ext>
            <a:ext uri="{147F2762-F138-4A5C-976F-8EAC2B608ADB}">
              <a16:predDERef xmlns:a16="http://schemas.microsoft.com/office/drawing/2014/main" pred="{DAA76C47-4007-E9F8-FD65-1A32CDB757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0824A-D8DD-414A-B1A7-BFD447E5B35E}">
  <dimension ref="A1:L40"/>
  <sheetViews>
    <sheetView tabSelected="1" workbookViewId="0">
      <selection activeCell="F19" sqref="F19"/>
    </sheetView>
  </sheetViews>
  <sheetFormatPr defaultColWidth="9.140625" defaultRowHeight="15"/>
  <cols>
    <col min="1" max="1" width="22.7109375" bestFit="1" customWidth="1"/>
    <col min="2" max="2" width="16.85546875" bestFit="1" customWidth="1"/>
    <col min="3" max="3" width="23" bestFit="1" customWidth="1"/>
    <col min="4" max="4" width="29.28515625" customWidth="1"/>
    <col min="5" max="5" width="35.7109375" bestFit="1" customWidth="1"/>
    <col min="7" max="7" width="23.85546875" bestFit="1" customWidth="1"/>
    <col min="8" max="8" width="14.5703125" bestFit="1" customWidth="1"/>
    <col min="9" max="9" width="20.7109375" bestFit="1" customWidth="1"/>
    <col min="10" max="10" width="33" customWidth="1"/>
    <col min="11" max="11" width="35.7109375" customWidth="1"/>
    <col min="12" max="12" width="35.7109375" bestFit="1" customWidth="1"/>
  </cols>
  <sheetData>
    <row r="1" spans="1:12" ht="15" customHeight="1">
      <c r="A1" s="42" t="s">
        <v>0</v>
      </c>
      <c r="B1" s="42"/>
      <c r="C1" s="42"/>
      <c r="D1" s="43" t="s">
        <v>1</v>
      </c>
      <c r="E1" s="43"/>
      <c r="F1" s="4"/>
      <c r="G1" s="37" t="s">
        <v>2</v>
      </c>
      <c r="H1" s="37"/>
      <c r="I1" s="37"/>
      <c r="J1" s="37"/>
      <c r="K1" s="34"/>
    </row>
    <row r="2" spans="1:12">
      <c r="A2" s="42"/>
      <c r="B2" s="42"/>
      <c r="C2" s="42"/>
      <c r="D2" s="43"/>
      <c r="E2" s="43"/>
      <c r="F2" s="4"/>
      <c r="G2" s="37"/>
      <c r="H2" s="37"/>
      <c r="I2" s="37"/>
      <c r="J2" s="37"/>
      <c r="K2" s="34"/>
    </row>
    <row r="3" spans="1:12">
      <c r="A3" s="42"/>
      <c r="B3" s="42"/>
      <c r="C3" s="42"/>
      <c r="D3" s="43"/>
      <c r="E3" s="43"/>
      <c r="F3" s="4"/>
      <c r="G3" s="37"/>
      <c r="H3" s="37"/>
      <c r="I3" s="37"/>
      <c r="J3" s="37"/>
      <c r="K3" s="34"/>
    </row>
    <row r="4" spans="1:12">
      <c r="A4" s="42"/>
      <c r="B4" s="42"/>
      <c r="C4" s="42"/>
      <c r="D4" s="43"/>
      <c r="E4" s="43"/>
      <c r="F4" s="4"/>
      <c r="G4" s="34"/>
      <c r="H4" s="34"/>
      <c r="I4" s="34"/>
      <c r="J4" s="34"/>
      <c r="K4" s="34"/>
    </row>
    <row r="6" spans="1:12">
      <c r="C6" s="38" t="s">
        <v>3</v>
      </c>
      <c r="D6" s="39"/>
      <c r="I6" s="40" t="s">
        <v>4</v>
      </c>
      <c r="J6" s="41"/>
      <c r="L6" s="33"/>
    </row>
    <row r="7" spans="1:12">
      <c r="A7" s="1" t="s">
        <v>5</v>
      </c>
      <c r="B7" s="22" t="s">
        <v>6</v>
      </c>
      <c r="C7" s="22" t="s">
        <v>7</v>
      </c>
      <c r="D7" s="22" t="s">
        <v>8</v>
      </c>
      <c r="E7" s="23" t="s">
        <v>9</v>
      </c>
      <c r="G7" s="6" t="s">
        <v>5</v>
      </c>
      <c r="H7" s="7" t="s">
        <v>6</v>
      </c>
      <c r="I7" s="7" t="s">
        <v>7</v>
      </c>
      <c r="J7" s="7" t="s">
        <v>8</v>
      </c>
      <c r="K7" s="8" t="s">
        <v>9</v>
      </c>
    </row>
    <row r="8" spans="1:12">
      <c r="A8" s="2" t="s">
        <v>10</v>
      </c>
      <c r="B8" s="24">
        <v>46.177099999999953</v>
      </c>
      <c r="C8" s="25">
        <v>3.8229000000000002</v>
      </c>
      <c r="D8" s="24">
        <v>0.20120526315789475</v>
      </c>
      <c r="E8" s="26">
        <v>0</v>
      </c>
      <c r="G8" s="9" t="s">
        <v>10</v>
      </c>
      <c r="H8" s="10">
        <v>43</v>
      </c>
      <c r="I8" s="11">
        <v>4</v>
      </c>
      <c r="J8" s="10">
        <v>0.1</v>
      </c>
      <c r="K8" s="12">
        <v>0</v>
      </c>
    </row>
    <row r="9" spans="1:12">
      <c r="A9" s="3" t="s">
        <v>11</v>
      </c>
      <c r="B9" s="27">
        <v>30.885499999999951</v>
      </c>
      <c r="C9" s="28">
        <v>19.1145</v>
      </c>
      <c r="D9" s="27">
        <v>1.0060263157894738</v>
      </c>
      <c r="E9" s="29">
        <v>0.33115115500973463</v>
      </c>
      <c r="G9" s="13" t="s">
        <v>11</v>
      </c>
      <c r="H9" s="14">
        <v>27.36</v>
      </c>
      <c r="I9" s="15">
        <v>20</v>
      </c>
      <c r="J9" s="14">
        <v>0.48</v>
      </c>
      <c r="K9" s="16">
        <v>0.36</v>
      </c>
    </row>
    <row r="10" spans="1:12">
      <c r="A10" s="2" t="s">
        <v>12</v>
      </c>
      <c r="B10" s="24">
        <v>23.239699999999949</v>
      </c>
      <c r="C10" s="25">
        <v>26.760300000000001</v>
      </c>
      <c r="D10" s="24">
        <v>1.4084368421052631</v>
      </c>
      <c r="E10" s="26">
        <v>0.49672673251460198</v>
      </c>
      <c r="G10" s="9" t="s">
        <v>12</v>
      </c>
      <c r="H10" s="10">
        <v>19.53</v>
      </c>
      <c r="I10" s="11">
        <v>27</v>
      </c>
      <c r="J10" s="10">
        <v>0.67</v>
      </c>
      <c r="K10" s="12">
        <v>0.55000000000000004</v>
      </c>
    </row>
    <row r="11" spans="1:12">
      <c r="A11" s="5" t="s">
        <v>13</v>
      </c>
      <c r="B11" s="30">
        <v>27.289999999999953</v>
      </c>
      <c r="C11" s="31">
        <v>22.709999999999997</v>
      </c>
      <c r="D11" s="32">
        <v>1.1952631578947368</v>
      </c>
      <c r="E11" s="21">
        <v>0.4090144248989222</v>
      </c>
      <c r="G11" s="17" t="s">
        <v>13</v>
      </c>
      <c r="H11" s="18">
        <v>-17</v>
      </c>
      <c r="I11" s="19">
        <v>64</v>
      </c>
      <c r="J11" s="20">
        <v>1.56</v>
      </c>
      <c r="K11" s="21">
        <v>1.4</v>
      </c>
    </row>
    <row r="33" spans="1:6">
      <c r="A33" s="35" t="s">
        <v>14</v>
      </c>
      <c r="B33" s="36"/>
      <c r="C33" s="36"/>
      <c r="D33" s="36"/>
      <c r="E33" s="36"/>
      <c r="F33" s="36"/>
    </row>
    <row r="34" spans="1:6">
      <c r="A34" s="36"/>
      <c r="B34" s="36"/>
      <c r="C34" s="36"/>
      <c r="D34" s="36"/>
      <c r="E34" s="36"/>
      <c r="F34" s="36"/>
    </row>
    <row r="35" spans="1:6">
      <c r="A35" s="36"/>
      <c r="B35" s="36"/>
      <c r="C35" s="36"/>
      <c r="D35" s="36"/>
      <c r="E35" s="36"/>
      <c r="F35" s="36"/>
    </row>
    <row r="36" spans="1:6">
      <c r="A36" s="36"/>
      <c r="B36" s="36"/>
      <c r="C36" s="36"/>
      <c r="D36" s="36"/>
      <c r="E36" s="36"/>
      <c r="F36" s="36"/>
    </row>
    <row r="37" spans="1:6">
      <c r="A37" s="36"/>
      <c r="B37" s="36"/>
      <c r="C37" s="36"/>
      <c r="D37" s="36"/>
      <c r="E37" s="36"/>
      <c r="F37" s="36"/>
    </row>
    <row r="38" spans="1:6">
      <c r="A38" s="36"/>
      <c r="B38" s="36"/>
      <c r="C38" s="36"/>
      <c r="D38" s="36"/>
      <c r="E38" s="36"/>
      <c r="F38" s="36"/>
    </row>
    <row r="39" spans="1:6">
      <c r="A39" s="36"/>
      <c r="B39" s="36"/>
      <c r="C39" s="36"/>
      <c r="D39" s="36"/>
      <c r="E39" s="36"/>
      <c r="F39" s="36"/>
    </row>
    <row r="40" spans="1:6">
      <c r="A40" s="36"/>
      <c r="B40" s="36"/>
      <c r="C40" s="36"/>
      <c r="D40" s="36"/>
      <c r="E40" s="36"/>
      <c r="F40" s="36"/>
    </row>
  </sheetData>
  <mergeCells count="6">
    <mergeCell ref="A33:F40"/>
    <mergeCell ref="G1:J3"/>
    <mergeCell ref="C6:D6"/>
    <mergeCell ref="I6:J6"/>
    <mergeCell ref="A1:C4"/>
    <mergeCell ref="D1:E4"/>
  </mergeCells>
  <dataValidations count="1">
    <dataValidation allowBlank="1" showInputMessage="1" showErrorMessage="1" sqref="A8 G8" xr:uid="{CE659EAB-7881-4E1D-9C35-A79D1CB884F9}"/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2026-02-26T22:29:13Z</dcterms:created>
  <dcterms:modified xsi:type="dcterms:W3CDTF">2026-03-06T20:19:38Z</dcterms:modified>
  <cp:category/>
  <cp:contentStatus/>
</cp:coreProperties>
</file>